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_Data" sheetId="2" state="visible" r:id="rId2"/>
    <sheet xmlns:r="http://schemas.openxmlformats.org/officeDocument/2006/relationships" name="Calc_Model" sheetId="3" state="visible" r:id="rId3"/>
    <sheet xmlns:r="http://schemas.openxmlformats.org/officeDocument/2006/relationships" name="Report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Assumptions_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Sr.No</t>
        </is>
      </c>
      <c r="B1" s="1" t="inlineStr">
        <is>
          <t>Institute Name</t>
        </is>
      </c>
      <c r="C1" s="1" t="inlineStr">
        <is>
          <t>Date &amp; Time</t>
        </is>
      </c>
      <c r="D1" s="1" t="inlineStr">
        <is>
          <t>Order ID</t>
        </is>
      </c>
      <c r="E1" s="1" t="inlineStr">
        <is>
          <t>Edviron order ID</t>
        </is>
      </c>
      <c r="F1" s="1" t="inlineStr">
        <is>
          <t>Order Amt</t>
        </is>
      </c>
      <c r="G1" s="1" t="inlineStr">
        <is>
          <t>Transaction Amt</t>
        </is>
      </c>
      <c r="H1" s="1" t="inlineStr">
        <is>
          <t>Payment Method</t>
        </is>
      </c>
      <c r="I1" s="1" t="inlineStr">
        <is>
          <t>payment_mode</t>
        </is>
      </c>
      <c r="J1" s="1" t="inlineStr">
        <is>
          <t>Status</t>
        </is>
      </c>
      <c r="K1" s="1" t="inlineStr">
        <is>
          <t>Student Name</t>
        </is>
      </c>
      <c r="L1" s="1" t="inlineStr">
        <is>
          <t>Phone No.</t>
        </is>
      </c>
      <c r="M1" s="1" t="inlineStr">
        <is>
          <t>Vendor Amount</t>
        </is>
      </c>
      <c r="N1" s="1" t="inlineStr">
        <is>
          <t>Gateway</t>
        </is>
      </c>
      <c r="O1" s="1" t="inlineStr">
        <is>
          <t>Capture Status</t>
        </is>
      </c>
      <c r="P1" s="1" t="inlineStr">
        <is>
          <t>Merchant Pricing</t>
        </is>
      </c>
      <c r="Q1" s="1" t="inlineStr">
        <is>
          <t>Merchant Pricing Type</t>
        </is>
      </c>
      <c r="R1" s="1" t="inlineStr">
        <is>
          <t>Partner Pricing</t>
        </is>
      </c>
      <c r="S1" s="1" t="inlineStr">
        <is>
          <t>Partner Pricing Type</t>
        </is>
      </c>
      <c r="T1" s="1" t="inlineStr">
        <is>
          <t>Edviron Buying</t>
        </is>
      </c>
      <c r="U1" s="1" t="inlineStr">
        <is>
          <t>Edviron Buying type</t>
        </is>
      </c>
    </row>
    <row r="2">
      <c r="A2" t="n">
        <v>1</v>
      </c>
      <c r="B2" t="inlineStr">
        <is>
          <t>SBNM College</t>
        </is>
      </c>
      <c r="C2" t="inlineStr">
        <is>
          <t>1/4/2025 12:31</t>
        </is>
      </c>
      <c r="D2" t="inlineStr">
        <is>
          <t>EDVI2711</t>
        </is>
      </c>
      <c r="E2" t="inlineStr">
        <is>
          <t>ID1</t>
        </is>
      </c>
      <c r="F2" t="n">
        <v>3800</v>
      </c>
      <c r="G2" t="n">
        <v>3802.36</v>
      </c>
      <c r="H2" t="inlineStr">
        <is>
          <t>upi</t>
        </is>
      </c>
      <c r="I2" t="inlineStr">
        <is>
          <t>UPI</t>
        </is>
      </c>
      <c r="J2" t="inlineStr">
        <is>
          <t>SUCCESS</t>
        </is>
      </c>
      <c r="K2" t="inlineStr">
        <is>
          <t>RushikeshPatil</t>
        </is>
      </c>
      <c r="L2" t="inlineStr"/>
      <c r="M2" t="inlineStr">
        <is>
          <t>NA</t>
        </is>
      </c>
      <c r="N2" t="inlineStr">
        <is>
          <t>CASHFREE</t>
        </is>
      </c>
      <c r="O2" t="inlineStr"/>
      <c r="P2" t="n">
        <v>2</v>
      </c>
      <c r="Q2" t="inlineStr">
        <is>
          <t>FLAT</t>
        </is>
      </c>
      <c r="R2" t="n">
        <v>2</v>
      </c>
      <c r="S2" t="inlineStr">
        <is>
          <t>FLAT</t>
        </is>
      </c>
      <c r="T2" t="n">
        <v>0</v>
      </c>
      <c r="U2" t="inlineStr">
        <is>
          <t>FLAT</t>
        </is>
      </c>
    </row>
    <row r="3">
      <c r="A3" t="n">
        <v>2</v>
      </c>
      <c r="B3" t="inlineStr">
        <is>
          <t>R P College</t>
        </is>
      </c>
      <c r="C3" t="inlineStr">
        <is>
          <t>11/4/2025 11:51</t>
        </is>
      </c>
      <c r="D3" t="inlineStr">
        <is>
          <t>EDVI2716</t>
        </is>
      </c>
      <c r="E3" t="inlineStr">
        <is>
          <t>ID2</t>
        </is>
      </c>
      <c r="F3" t="n">
        <v>15000</v>
      </c>
      <c r="G3" t="n">
        <v>15002.36</v>
      </c>
      <c r="H3" t="inlineStr">
        <is>
          <t>upi</t>
        </is>
      </c>
      <c r="I3" t="inlineStr">
        <is>
          <t>UPI</t>
        </is>
      </c>
      <c r="J3" t="inlineStr">
        <is>
          <t>SUCCESS</t>
        </is>
      </c>
      <c r="K3" t="inlineStr">
        <is>
          <t>Pranav</t>
        </is>
      </c>
      <c r="L3" t="inlineStr"/>
      <c r="M3" t="inlineStr">
        <is>
          <t>NA</t>
        </is>
      </c>
      <c r="N3" t="inlineStr">
        <is>
          <t>CASHFREE</t>
        </is>
      </c>
      <c r="O3" t="inlineStr"/>
      <c r="P3" t="n">
        <v>2</v>
      </c>
      <c r="Q3" t="inlineStr">
        <is>
          <t>FLAT</t>
        </is>
      </c>
      <c r="R3" t="n">
        <v>2</v>
      </c>
      <c r="S3" t="inlineStr">
        <is>
          <t>FLAT</t>
        </is>
      </c>
      <c r="T3" t="n">
        <v>0</v>
      </c>
      <c r="U3" t="inlineStr">
        <is>
          <t>FLAT</t>
        </is>
      </c>
    </row>
    <row r="4">
      <c r="A4" t="n">
        <v>3</v>
      </c>
      <c r="B4" t="inlineStr">
        <is>
          <t>R P College</t>
        </is>
      </c>
      <c r="C4" t="inlineStr">
        <is>
          <t>21/4/2025 10:31</t>
        </is>
      </c>
      <c r="D4" t="inlineStr">
        <is>
          <t>EDVI2722</t>
        </is>
      </c>
      <c r="E4" t="inlineStr">
        <is>
          <t>ID3</t>
        </is>
      </c>
      <c r="F4" t="n">
        <v>10000</v>
      </c>
      <c r="G4" t="n">
        <v>10002.36</v>
      </c>
      <c r="H4" t="inlineStr">
        <is>
          <t>upi</t>
        </is>
      </c>
      <c r="I4" t="inlineStr">
        <is>
          <t>UPI</t>
        </is>
      </c>
      <c r="J4" t="inlineStr">
        <is>
          <t>SUCCESS</t>
        </is>
      </c>
      <c r="K4" t="inlineStr">
        <is>
          <t>Dattatray</t>
        </is>
      </c>
      <c r="L4" t="inlineStr"/>
      <c r="M4" t="inlineStr">
        <is>
          <t>NA</t>
        </is>
      </c>
      <c r="N4" t="inlineStr">
        <is>
          <t>CASHFREE</t>
        </is>
      </c>
      <c r="O4" t="inlineStr"/>
      <c r="P4" t="n">
        <v>2</v>
      </c>
      <c r="Q4" t="inlineStr">
        <is>
          <t>FLAT</t>
        </is>
      </c>
      <c r="R4" t="n">
        <v>2</v>
      </c>
      <c r="S4" t="inlineStr">
        <is>
          <t>FLAT</t>
        </is>
      </c>
      <c r="T4" t="n">
        <v>0</v>
      </c>
      <c r="U4" t="inlineStr">
        <is>
          <t>FLAT</t>
        </is>
      </c>
    </row>
    <row r="5">
      <c r="A5" t="n">
        <v>4</v>
      </c>
      <c r="B5" t="inlineStr">
        <is>
          <t>ST MICHAEL'S SCHOOL</t>
        </is>
      </c>
      <c r="C5" t="inlineStr">
        <is>
          <t>14/11/2025 10:46</t>
        </is>
      </c>
      <c r="D5" t="inlineStr">
        <is>
          <t>SMED0331</t>
        </is>
      </c>
      <c r="E5" t="inlineStr">
        <is>
          <t>ID4</t>
        </is>
      </c>
      <c r="F5" t="n">
        <v>34325</v>
      </c>
      <c r="G5" t="n">
        <v>34327.36</v>
      </c>
      <c r="H5" t="inlineStr">
        <is>
          <t>upi</t>
        </is>
      </c>
      <c r="I5" t="inlineStr">
        <is>
          <t>Others</t>
        </is>
      </c>
      <c r="J5" t="inlineStr">
        <is>
          <t>SUCCESS</t>
        </is>
      </c>
      <c r="K5" t="inlineStr">
        <is>
          <t>RUDRANI</t>
        </is>
      </c>
      <c r="L5" t="inlineStr"/>
      <c r="M5" t="inlineStr">
        <is>
          <t>NA</t>
        </is>
      </c>
      <c r="N5" t="inlineStr">
        <is>
          <t>EDVIRON_EASEBUZZ</t>
        </is>
      </c>
      <c r="O5" t="inlineStr"/>
      <c r="P5" t="n">
        <v>2</v>
      </c>
      <c r="Q5" t="inlineStr">
        <is>
          <t>FLAT</t>
        </is>
      </c>
      <c r="R5" t="n">
        <v>2</v>
      </c>
      <c r="S5" t="inlineStr">
        <is>
          <t>FLAT</t>
        </is>
      </c>
      <c r="T5" t="n">
        <v>0</v>
      </c>
      <c r="U5" t="inlineStr">
        <is>
          <t>FLAT</t>
        </is>
      </c>
    </row>
    <row r="6">
      <c r="A6" t="n">
        <v>5</v>
      </c>
      <c r="B6" t="inlineStr">
        <is>
          <t>ST MICHAEL'S SCHOOL</t>
        </is>
      </c>
      <c r="C6" t="inlineStr">
        <is>
          <t>1/1/2026 12:15</t>
        </is>
      </c>
      <c r="D6" t="inlineStr">
        <is>
          <t>SMED0415</t>
        </is>
      </c>
      <c r="E6" t="inlineStr">
        <is>
          <t>ID5</t>
        </is>
      </c>
      <c r="F6" t="n">
        <v>72150</v>
      </c>
      <c r="G6" t="n">
        <v>72152.36</v>
      </c>
      <c r="H6" t="inlineStr">
        <is>
          <t>upi</t>
        </is>
      </c>
      <c r="I6" t="inlineStr">
        <is>
          <t>Others</t>
        </is>
      </c>
      <c r="J6" t="inlineStr">
        <is>
          <t>SUCCESS</t>
        </is>
      </c>
      <c r="K6" t="inlineStr">
        <is>
          <t>SONAL</t>
        </is>
      </c>
      <c r="L6" t="inlineStr"/>
      <c r="M6" t="inlineStr">
        <is>
          <t>NA</t>
        </is>
      </c>
      <c r="N6" t="inlineStr">
        <is>
          <t>EDVIRON_EASEBUZZ</t>
        </is>
      </c>
      <c r="O6" t="inlineStr"/>
      <c r="P6" t="n">
        <v>2</v>
      </c>
      <c r="Q6" t="inlineStr">
        <is>
          <t>FLAT</t>
        </is>
      </c>
      <c r="R6" t="n">
        <v>2</v>
      </c>
      <c r="S6" t="inlineStr">
        <is>
          <t>FLAT</t>
        </is>
      </c>
      <c r="T6" t="n">
        <v>0</v>
      </c>
      <c r="U6" t="inlineStr">
        <is>
          <t>FLAT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Sr.No</t>
        </is>
      </c>
      <c r="B1" s="1" t="inlineStr">
        <is>
          <t>Institute Name</t>
        </is>
      </c>
      <c r="C1" s="1" t="inlineStr">
        <is>
          <t>Date &amp; Time</t>
        </is>
      </c>
      <c r="D1" s="1" t="inlineStr">
        <is>
          <t>Order ID</t>
        </is>
      </c>
      <c r="E1" s="1" t="inlineStr">
        <is>
          <t>Edviron order ID</t>
        </is>
      </c>
      <c r="F1" s="1" t="inlineStr">
        <is>
          <t>Order Amt</t>
        </is>
      </c>
      <c r="G1" s="1" t="inlineStr">
        <is>
          <t>Transaction Amt</t>
        </is>
      </c>
      <c r="H1" s="1" t="inlineStr">
        <is>
          <t>Payment Method</t>
        </is>
      </c>
      <c r="I1" s="1" t="inlineStr">
        <is>
          <t>payment_mode</t>
        </is>
      </c>
      <c r="J1" s="1" t="inlineStr">
        <is>
          <t>Status</t>
        </is>
      </c>
      <c r="K1" s="1" t="inlineStr">
        <is>
          <t>Student Name</t>
        </is>
      </c>
      <c r="L1" s="1" t="inlineStr">
        <is>
          <t>Phone No.</t>
        </is>
      </c>
      <c r="M1" s="1" t="inlineStr">
        <is>
          <t>Vendor Amount</t>
        </is>
      </c>
      <c r="N1" s="1" t="inlineStr">
        <is>
          <t>Gateway</t>
        </is>
      </c>
      <c r="O1" s="1" t="inlineStr">
        <is>
          <t>Capture Status</t>
        </is>
      </c>
      <c r="P1" s="1" t="inlineStr">
        <is>
          <t>Merchant Pricing</t>
        </is>
      </c>
      <c r="Q1" s="1" t="inlineStr">
        <is>
          <t>Merchant Pricing Type</t>
        </is>
      </c>
      <c r="R1" s="1" t="inlineStr">
        <is>
          <t>Partner Pricing</t>
        </is>
      </c>
      <c r="S1" s="1" t="inlineStr">
        <is>
          <t>Partner Pricing Type</t>
        </is>
      </c>
      <c r="T1" s="1" t="inlineStr">
        <is>
          <t>Edviron Buying</t>
        </is>
      </c>
      <c r="U1" s="1" t="inlineStr">
        <is>
          <t>Edviron Buying type</t>
        </is>
      </c>
      <c r="V1" s="1" t="inlineStr">
        <is>
          <t>Transaction_Date</t>
        </is>
      </c>
    </row>
    <row r="2">
      <c r="A2">
        <f>Raw_Data!A2</f>
        <v/>
      </c>
      <c r="B2">
        <f>Raw_Data!B2</f>
        <v/>
      </c>
      <c r="C2">
        <f>Raw_Data!C2</f>
        <v/>
      </c>
      <c r="D2">
        <f>Raw_Data!D2</f>
        <v/>
      </c>
      <c r="E2">
        <f>Raw_Data!E2</f>
        <v/>
      </c>
      <c r="F2">
        <f>Raw_Data!F2</f>
        <v/>
      </c>
      <c r="G2">
        <f>Raw_Data!G2</f>
        <v/>
      </c>
      <c r="H2">
        <f>Raw_Data!H2</f>
        <v/>
      </c>
      <c r="I2">
        <f>Raw_Data!I2</f>
        <v/>
      </c>
      <c r="J2">
        <f>Raw_Data!J2</f>
        <v/>
      </c>
      <c r="K2">
        <f>Raw_Data!K2</f>
        <v/>
      </c>
      <c r="L2">
        <f>Raw_Data!L2</f>
        <v/>
      </c>
      <c r="M2">
        <f>Raw_Data!M2</f>
        <v/>
      </c>
      <c r="N2">
        <f>Raw_Data!N2</f>
        <v/>
      </c>
      <c r="O2">
        <f>Raw_Data!O2</f>
        <v/>
      </c>
      <c r="P2">
        <f>Raw_Data!P2</f>
        <v/>
      </c>
      <c r="Q2">
        <f>Raw_Data!Q2</f>
        <v/>
      </c>
      <c r="R2">
        <f>Raw_Data!R2</f>
        <v/>
      </c>
      <c r="S2">
        <f>Raw_Data!S2</f>
        <v/>
      </c>
      <c r="T2">
        <f>Raw_Data!T2</f>
        <v/>
      </c>
      <c r="U2">
        <f>Raw_Data!U2</f>
        <v/>
      </c>
      <c r="V2">
        <f>INT(Raw_Data!C2)</f>
        <v/>
      </c>
    </row>
    <row r="3">
      <c r="A3">
        <f>Raw_Data!A3</f>
        <v/>
      </c>
      <c r="B3">
        <f>Raw_Data!B3</f>
        <v/>
      </c>
      <c r="C3">
        <f>Raw_Data!C3</f>
        <v/>
      </c>
      <c r="D3">
        <f>Raw_Data!D3</f>
        <v/>
      </c>
      <c r="E3">
        <f>Raw_Data!E3</f>
        <v/>
      </c>
      <c r="F3">
        <f>Raw_Data!F3</f>
        <v/>
      </c>
      <c r="G3">
        <f>Raw_Data!G3</f>
        <v/>
      </c>
      <c r="H3">
        <f>Raw_Data!H3</f>
        <v/>
      </c>
      <c r="I3">
        <f>Raw_Data!I3</f>
        <v/>
      </c>
      <c r="J3">
        <f>Raw_Data!J3</f>
        <v/>
      </c>
      <c r="K3">
        <f>Raw_Data!K3</f>
        <v/>
      </c>
      <c r="L3">
        <f>Raw_Data!L3</f>
        <v/>
      </c>
      <c r="M3">
        <f>Raw_Data!M3</f>
        <v/>
      </c>
      <c r="N3">
        <f>Raw_Data!N3</f>
        <v/>
      </c>
      <c r="O3">
        <f>Raw_Data!O3</f>
        <v/>
      </c>
      <c r="P3">
        <f>Raw_Data!P3</f>
        <v/>
      </c>
      <c r="Q3">
        <f>Raw_Data!Q3</f>
        <v/>
      </c>
      <c r="R3">
        <f>Raw_Data!R3</f>
        <v/>
      </c>
      <c r="S3">
        <f>Raw_Data!S3</f>
        <v/>
      </c>
      <c r="T3">
        <f>Raw_Data!T3</f>
        <v/>
      </c>
      <c r="U3">
        <f>Raw_Data!U3</f>
        <v/>
      </c>
      <c r="V3">
        <f>INT(Raw_Data!C3)</f>
        <v/>
      </c>
    </row>
    <row r="4">
      <c r="A4">
        <f>Raw_Data!A4</f>
        <v/>
      </c>
      <c r="B4">
        <f>Raw_Data!B4</f>
        <v/>
      </c>
      <c r="C4">
        <f>Raw_Data!C4</f>
        <v/>
      </c>
      <c r="D4">
        <f>Raw_Data!D4</f>
        <v/>
      </c>
      <c r="E4">
        <f>Raw_Data!E4</f>
        <v/>
      </c>
      <c r="F4">
        <f>Raw_Data!F4</f>
        <v/>
      </c>
      <c r="G4">
        <f>Raw_Data!G4</f>
        <v/>
      </c>
      <c r="H4">
        <f>Raw_Data!H4</f>
        <v/>
      </c>
      <c r="I4">
        <f>Raw_Data!I4</f>
        <v/>
      </c>
      <c r="J4">
        <f>Raw_Data!J4</f>
        <v/>
      </c>
      <c r="K4">
        <f>Raw_Data!K4</f>
        <v/>
      </c>
      <c r="L4">
        <f>Raw_Data!L4</f>
        <v/>
      </c>
      <c r="M4">
        <f>Raw_Data!M4</f>
        <v/>
      </c>
      <c r="N4">
        <f>Raw_Data!N4</f>
        <v/>
      </c>
      <c r="O4">
        <f>Raw_Data!O4</f>
        <v/>
      </c>
      <c r="P4">
        <f>Raw_Data!P4</f>
        <v/>
      </c>
      <c r="Q4">
        <f>Raw_Data!Q4</f>
        <v/>
      </c>
      <c r="R4">
        <f>Raw_Data!R4</f>
        <v/>
      </c>
      <c r="S4">
        <f>Raw_Data!S4</f>
        <v/>
      </c>
      <c r="T4">
        <f>Raw_Data!T4</f>
        <v/>
      </c>
      <c r="U4">
        <f>Raw_Data!U4</f>
        <v/>
      </c>
      <c r="V4">
        <f>INT(Raw_Data!C4)</f>
        <v/>
      </c>
    </row>
    <row r="5">
      <c r="A5">
        <f>Raw_Data!A5</f>
        <v/>
      </c>
      <c r="B5">
        <f>Raw_Data!B5</f>
        <v/>
      </c>
      <c r="C5">
        <f>Raw_Data!C5</f>
        <v/>
      </c>
      <c r="D5">
        <f>Raw_Data!D5</f>
        <v/>
      </c>
      <c r="E5">
        <f>Raw_Data!E5</f>
        <v/>
      </c>
      <c r="F5">
        <f>Raw_Data!F5</f>
        <v/>
      </c>
      <c r="G5">
        <f>Raw_Data!G5</f>
        <v/>
      </c>
      <c r="H5">
        <f>Raw_Data!H5</f>
        <v/>
      </c>
      <c r="I5">
        <f>Raw_Data!I5</f>
        <v/>
      </c>
      <c r="J5">
        <f>Raw_Data!J5</f>
        <v/>
      </c>
      <c r="K5">
        <f>Raw_Data!K5</f>
        <v/>
      </c>
      <c r="L5">
        <f>Raw_Data!L5</f>
        <v/>
      </c>
      <c r="M5">
        <f>Raw_Data!M5</f>
        <v/>
      </c>
      <c r="N5">
        <f>Raw_Data!N5</f>
        <v/>
      </c>
      <c r="O5">
        <f>Raw_Data!O5</f>
        <v/>
      </c>
      <c r="P5">
        <f>Raw_Data!P5</f>
        <v/>
      </c>
      <c r="Q5">
        <f>Raw_Data!Q5</f>
        <v/>
      </c>
      <c r="R5">
        <f>Raw_Data!R5</f>
        <v/>
      </c>
      <c r="S5">
        <f>Raw_Data!S5</f>
        <v/>
      </c>
      <c r="T5">
        <f>Raw_Data!T5</f>
        <v/>
      </c>
      <c r="U5">
        <f>Raw_Data!U5</f>
        <v/>
      </c>
      <c r="V5">
        <f>INT(Raw_Data!C5)</f>
        <v/>
      </c>
    </row>
    <row r="6">
      <c r="A6">
        <f>Raw_Data!A6</f>
        <v/>
      </c>
      <c r="B6">
        <f>Raw_Data!B6</f>
        <v/>
      </c>
      <c r="C6">
        <f>Raw_Data!C6</f>
        <v/>
      </c>
      <c r="D6">
        <f>Raw_Data!D6</f>
        <v/>
      </c>
      <c r="E6">
        <f>Raw_Data!E6</f>
        <v/>
      </c>
      <c r="F6">
        <f>Raw_Data!F6</f>
        <v/>
      </c>
      <c r="G6">
        <f>Raw_Data!G6</f>
        <v/>
      </c>
      <c r="H6">
        <f>Raw_Data!H6</f>
        <v/>
      </c>
      <c r="I6">
        <f>Raw_Data!I6</f>
        <v/>
      </c>
      <c r="J6">
        <f>Raw_Data!J6</f>
        <v/>
      </c>
      <c r="K6">
        <f>Raw_Data!K6</f>
        <v/>
      </c>
      <c r="L6">
        <f>Raw_Data!L6</f>
        <v/>
      </c>
      <c r="M6">
        <f>Raw_Data!M6</f>
        <v/>
      </c>
      <c r="N6">
        <f>Raw_Data!N6</f>
        <v/>
      </c>
      <c r="O6">
        <f>Raw_Data!O6</f>
        <v/>
      </c>
      <c r="P6">
        <f>Raw_Data!P6</f>
        <v/>
      </c>
      <c r="Q6">
        <f>Raw_Data!Q6</f>
        <v/>
      </c>
      <c r="R6">
        <f>Raw_Data!R6</f>
        <v/>
      </c>
      <c r="S6">
        <f>Raw_Data!S6</f>
        <v/>
      </c>
      <c r="T6">
        <f>Raw_Data!T6</f>
        <v/>
      </c>
      <c r="U6">
        <f>Raw_Data!U6</f>
        <v/>
      </c>
      <c r="V6">
        <f>INT(Raw_Data!C6)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Order ID</t>
        </is>
      </c>
      <c r="B1" s="1" t="inlineStr">
        <is>
          <t>Transaction Amt</t>
        </is>
      </c>
      <c r="C1" s="1" t="inlineStr">
        <is>
          <t>Merchant_Pricing_INR</t>
        </is>
      </c>
      <c r="D1" s="1" t="inlineStr">
        <is>
          <t>Partner_Pricing_INR</t>
        </is>
      </c>
      <c r="E1" s="1" t="inlineStr">
        <is>
          <t>Edviron_Buying_INR</t>
        </is>
      </c>
      <c r="F1" s="1" t="inlineStr">
        <is>
          <t>ERP Revenue</t>
        </is>
      </c>
      <c r="G1" s="1" t="inlineStr">
        <is>
          <t>Edviron Net Revenue</t>
        </is>
      </c>
      <c r="H1" s="1" t="inlineStr">
        <is>
          <t>Edviron Gross Revenue</t>
        </is>
      </c>
      <c r="I1" s="1" t="inlineStr">
        <is>
          <t>Gateway Fee</t>
        </is>
      </c>
      <c r="J1" s="1" t="inlineStr">
        <is>
          <t>ERP Payable</t>
        </is>
      </c>
      <c r="K1" s="1" t="inlineStr">
        <is>
          <t>Edviron Retained</t>
        </is>
      </c>
      <c r="L1" s="1" t="inlineStr">
        <is>
          <t>Pending Exposure</t>
        </is>
      </c>
    </row>
    <row r="2">
      <c r="A2">
        <f>Clean_Data!D2</f>
        <v/>
      </c>
      <c r="B2">
        <f>Clean_Data!G2</f>
        <v/>
      </c>
      <c r="C2">
        <f>IF(Clean_Data!Q2="FLAT",Clean_Data!P2,Clean_Data!G2*Clean_Data!P2/100)</f>
        <v/>
      </c>
      <c r="D2">
        <f>IF(Clean_Data!S2="FLAT",Clean_Data!R2,Clean_Data!G2*Clean_Data!R2/100)</f>
        <v/>
      </c>
      <c r="E2">
        <f>IF(Clean_Data!U2="FLAT",Clean_Data!T2,Clean_Data!G2*Clean_Data!T2/100)</f>
        <v/>
      </c>
      <c r="F2">
        <f>C2-D2</f>
        <v/>
      </c>
      <c r="G2">
        <f>D2-E2</f>
        <v/>
      </c>
      <c r="H2">
        <f>F2+G2</f>
        <v/>
      </c>
      <c r="I2">
        <f>Clean_Data!G2-Clean_Data!F2</f>
        <v/>
      </c>
      <c r="J2">
        <f>F2</f>
        <v/>
      </c>
      <c r="K2">
        <f>G2</f>
        <v/>
      </c>
      <c r="L2">
        <f>IF(Clean_Data!J2&lt;&gt;"SUCCESS",Clean_Data!G2,0)</f>
        <v/>
      </c>
    </row>
    <row r="3">
      <c r="A3">
        <f>Clean_Data!D3</f>
        <v/>
      </c>
      <c r="B3">
        <f>Clean_Data!G3</f>
        <v/>
      </c>
      <c r="C3">
        <f>IF(Clean_Data!Q3="FLAT",Clean_Data!P3,Clean_Data!G3*Clean_Data!P3/100)</f>
        <v/>
      </c>
      <c r="D3">
        <f>IF(Clean_Data!S3="FLAT",Clean_Data!R3,Clean_Data!G3*Clean_Data!R3/100)</f>
        <v/>
      </c>
      <c r="E3">
        <f>IF(Clean_Data!U3="FLAT",Clean_Data!T3,Clean_Data!G3*Clean_Data!T3/100)</f>
        <v/>
      </c>
      <c r="F3">
        <f>C3-D3</f>
        <v/>
      </c>
      <c r="G3">
        <f>D3-E3</f>
        <v/>
      </c>
      <c r="H3">
        <f>F3+G3</f>
        <v/>
      </c>
      <c r="I3">
        <f>Clean_Data!G3-Clean_Data!F3</f>
        <v/>
      </c>
      <c r="J3">
        <f>F3</f>
        <v/>
      </c>
      <c r="K3">
        <f>G3</f>
        <v/>
      </c>
      <c r="L3">
        <f>IF(Clean_Data!J3&lt;&gt;"SUCCESS",Clean_Data!G3,0)</f>
        <v/>
      </c>
    </row>
    <row r="4">
      <c r="A4">
        <f>Clean_Data!D4</f>
        <v/>
      </c>
      <c r="B4">
        <f>Clean_Data!G4</f>
        <v/>
      </c>
      <c r="C4">
        <f>IF(Clean_Data!Q4="FLAT",Clean_Data!P4,Clean_Data!G4*Clean_Data!P4/100)</f>
        <v/>
      </c>
      <c r="D4">
        <f>IF(Clean_Data!S4="FLAT",Clean_Data!R4,Clean_Data!G4*Clean_Data!R4/100)</f>
        <v/>
      </c>
      <c r="E4">
        <f>IF(Clean_Data!U4="FLAT",Clean_Data!T4,Clean_Data!G4*Clean_Data!T4/100)</f>
        <v/>
      </c>
      <c r="F4">
        <f>C4-D4</f>
        <v/>
      </c>
      <c r="G4">
        <f>D4-E4</f>
        <v/>
      </c>
      <c r="H4">
        <f>F4+G4</f>
        <v/>
      </c>
      <c r="I4">
        <f>Clean_Data!G4-Clean_Data!F4</f>
        <v/>
      </c>
      <c r="J4">
        <f>F4</f>
        <v/>
      </c>
      <c r="K4">
        <f>G4</f>
        <v/>
      </c>
      <c r="L4">
        <f>IF(Clean_Data!J4&lt;&gt;"SUCCESS",Clean_Data!G4,0)</f>
        <v/>
      </c>
    </row>
    <row r="5">
      <c r="A5">
        <f>Clean_Data!D5</f>
        <v/>
      </c>
      <c r="B5">
        <f>Clean_Data!G5</f>
        <v/>
      </c>
      <c r="C5">
        <f>IF(Clean_Data!Q5="FLAT",Clean_Data!P5,Clean_Data!G5*Clean_Data!P5/100)</f>
        <v/>
      </c>
      <c r="D5">
        <f>IF(Clean_Data!S5="FLAT",Clean_Data!R5,Clean_Data!G5*Clean_Data!R5/100)</f>
        <v/>
      </c>
      <c r="E5">
        <f>IF(Clean_Data!U5="FLAT",Clean_Data!T5,Clean_Data!G5*Clean_Data!T5/100)</f>
        <v/>
      </c>
      <c r="F5">
        <f>C5-D5</f>
        <v/>
      </c>
      <c r="G5">
        <f>D5-E5</f>
        <v/>
      </c>
      <c r="H5">
        <f>F5+G5</f>
        <v/>
      </c>
      <c r="I5">
        <f>Clean_Data!G5-Clean_Data!F5</f>
        <v/>
      </c>
      <c r="J5">
        <f>F5</f>
        <v/>
      </c>
      <c r="K5">
        <f>G5</f>
        <v/>
      </c>
      <c r="L5">
        <f>IF(Clean_Data!J5&lt;&gt;"SUCCESS",Clean_Data!G5,0)</f>
        <v/>
      </c>
    </row>
    <row r="6">
      <c r="A6">
        <f>Clean_Data!D6</f>
        <v/>
      </c>
      <c r="B6">
        <f>Clean_Data!G6</f>
        <v/>
      </c>
      <c r="C6">
        <f>IF(Clean_Data!Q6="FLAT",Clean_Data!P6,Clean_Data!G6*Clean_Data!P6/100)</f>
        <v/>
      </c>
      <c r="D6">
        <f>IF(Clean_Data!S6="FLAT",Clean_Data!R6,Clean_Data!G6*Clean_Data!R6/100)</f>
        <v/>
      </c>
      <c r="E6">
        <f>IF(Clean_Data!U6="FLAT",Clean_Data!T6,Clean_Data!G6*Clean_Data!T6/100)</f>
        <v/>
      </c>
      <c r="F6">
        <f>C6-D6</f>
        <v/>
      </c>
      <c r="G6">
        <f>D6-E6</f>
        <v/>
      </c>
      <c r="H6">
        <f>F6+G6</f>
        <v/>
      </c>
      <c r="I6">
        <f>Clean_Data!G6-Clean_Data!F6</f>
        <v/>
      </c>
      <c r="J6">
        <f>F6</f>
        <v/>
      </c>
      <c r="K6">
        <f>G6</f>
        <v/>
      </c>
      <c r="L6">
        <f>IF(Clean_Data!J6&lt;&gt;"SUCCESS",Clean_Data!G6,0)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Transactions</t>
        </is>
      </c>
      <c r="B1">
        <f>COUNTA(Calc_Model!A2:A6)</f>
        <v/>
      </c>
    </row>
    <row r="2">
      <c r="A2" t="inlineStr">
        <is>
          <t>Total GMV</t>
        </is>
      </c>
      <c r="B2">
        <f>SUM(Calc_Model!B2:B6)</f>
        <v/>
      </c>
    </row>
    <row r="3">
      <c r="A3" t="inlineStr">
        <is>
          <t>ERP Revenue</t>
        </is>
      </c>
      <c r="B3">
        <f>SUM(Calc_Model!F2:F6)</f>
        <v/>
      </c>
    </row>
    <row r="4">
      <c r="A4" t="inlineStr">
        <is>
          <t>Edviron Net Revenue</t>
        </is>
      </c>
      <c r="B4">
        <f>SUM(Calc_Model!G2:G6)</f>
        <v/>
      </c>
    </row>
    <row r="5">
      <c r="A5" t="inlineStr">
        <is>
          <t>Edviron Gross Revenue</t>
        </is>
      </c>
      <c r="B5">
        <f>SUM(Calc_Model!H2:H6)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 xml:space="preserve">Revenue Logic &amp; Assumptions:
1. All pricing converted to INR per transaction.
2. ERP Revenue = Merchant − Partner.
3. Edviron Net Revenue = Partner − Buying.
4. Edviron Gross Revenue = ERP + Net.
5. Gateway Fee = Transaction Amount − Order Amount.
6. SUCCESS treated as settled.
7. Flat/% logic dynamic and scalable.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2026-03-01T06:59:58Z</dcterms:created>
  <dcterms:modified xmlns:dcterms="http://purl.org/dc/terms/" xmlns:xsi="http://www.w3.org/2001/XMLSchema-instance" xsi:type="dcterms:W3CDTF">2026-03-01T06:59:58Z</dcterms:modified>
</cp:coreProperties>
</file>